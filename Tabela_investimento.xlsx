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or\Downloads\"/>
    </mc:Choice>
  </mc:AlternateContent>
  <xr:revisionPtr revIDLastSave="0" documentId="13_ncr:1_{7D499D44-5570-41F3-98FF-8F9DC32F982E}" xr6:coauthVersionLast="47" xr6:coauthVersionMax="47" xr10:uidLastSave="{00000000-0000-0000-0000-000000000000}"/>
  <bookViews>
    <workbookView xWindow="28680" yWindow="-120" windowWidth="19440" windowHeight="10320" xr2:uid="{949F1AF8-4AD5-4D6D-9F04-B593816308E6}"/>
  </bookViews>
  <sheets>
    <sheet name="Planilha1" sheetId="1" r:id="rId1"/>
    <sheet name="Planilha2" sheetId="2" r:id="rId2"/>
  </sheets>
  <definedNames>
    <definedName name="_xlnm._FilterDatabase" localSheetId="0" hidden="1">Planilha1!$B$13:$C$14</definedName>
    <definedName name="Anos">Planilha1!$C$35</definedName>
    <definedName name="Investimento_mensal">Planilha1!$C$34</definedName>
    <definedName name="Patrimonio_acumulado">Planilha1!$C$37</definedName>
    <definedName name="Progressão_investimento">Planilha1!$C$41</definedName>
    <definedName name="Rendimento_Carteira">Planilha1!$C$10</definedName>
    <definedName name="Salario">Planilha1!$C$9</definedName>
    <definedName name="Taxa_mensal">Planilha1!$C$36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D30" i="1" s="1"/>
  <c r="C27" i="1"/>
  <c r="D27" i="1" s="1"/>
  <c r="C28" i="1"/>
  <c r="D28" i="1" s="1"/>
  <c r="C29" i="1"/>
  <c r="D29" i="1" s="1"/>
  <c r="C26" i="1"/>
  <c r="D26" i="1" s="1"/>
  <c r="C17" i="1"/>
  <c r="D17" i="1" s="1"/>
  <c r="D21" i="1"/>
  <c r="D22" i="1"/>
  <c r="B6" i="2"/>
  <c r="C19" i="1"/>
  <c r="D19" i="1" s="1"/>
  <c r="C18" i="1"/>
  <c r="D18" i="1" s="1"/>
  <c r="C20" i="1"/>
  <c r="D20" i="1" s="1"/>
  <c r="C21" i="1"/>
  <c r="C22" i="1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4" i="2"/>
  <c r="B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C11" i="1"/>
  <c r="C14" i="1" s="1"/>
  <c r="C36" i="1"/>
  <c r="C34" i="1" l="1"/>
  <c r="C44" i="1" l="1"/>
  <c r="D44" i="1" s="1"/>
  <c r="C37" i="1"/>
  <c r="C38" i="1" s="1"/>
  <c r="C41" i="1"/>
  <c r="D41" i="1" s="1"/>
  <c r="C45" i="1"/>
  <c r="D45" i="1" s="1"/>
  <c r="C42" i="1"/>
  <c r="D42" i="1" s="1"/>
  <c r="C43" i="1"/>
  <c r="D43" i="1" s="1"/>
  <c r="D31" i="1" l="1"/>
  <c r="D23" i="1"/>
</calcChain>
</file>

<file path=xl/sharedStrings.xml><?xml version="1.0" encoding="utf-8"?>
<sst xmlns="http://schemas.openxmlformats.org/spreadsheetml/2006/main" count="117" uniqueCount="44">
  <si>
    <t>Quanto investir por mês?</t>
  </si>
  <si>
    <t>Por quantos anos?</t>
  </si>
  <si>
    <t>Taxa de rendimento mensal?</t>
  </si>
  <si>
    <t>Dividendos Mensais ?</t>
  </si>
  <si>
    <t>2 anos</t>
  </si>
  <si>
    <t>5 anos</t>
  </si>
  <si>
    <t>10 anos</t>
  </si>
  <si>
    <t>20 anos</t>
  </si>
  <si>
    <t>30 anos</t>
  </si>
  <si>
    <t>PROGRESSÃO DOS INVESTIMENTOS</t>
  </si>
  <si>
    <t>Dividendo</t>
  </si>
  <si>
    <t xml:space="preserve">Configurações </t>
  </si>
  <si>
    <t>Salário</t>
  </si>
  <si>
    <t>Rendimento Carteira</t>
  </si>
  <si>
    <t>Sugestão de investimento</t>
  </si>
  <si>
    <t>Patrimônio acumulado durante o Tempo?</t>
  </si>
  <si>
    <t>PERFIL</t>
  </si>
  <si>
    <t>Conservador</t>
  </si>
  <si>
    <t>VALOR ENVESTIDO NO MÊS: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</si>
  <si>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</si>
  <si>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</si>
  <si>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</si>
  <si>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</si>
  <si>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</si>
  <si>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</si>
  <si>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</si>
  <si>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HOTELARIAS</t>
  </si>
  <si>
    <t xml:space="preserve">TIPOS DE RENDA FIXA </t>
  </si>
  <si>
    <t>Tesouro Direto</t>
  </si>
  <si>
    <t>CDB</t>
  </si>
  <si>
    <t>LCI e LCA</t>
  </si>
  <si>
    <t>CRI e CRA</t>
  </si>
  <si>
    <t>Dedêntures</t>
  </si>
  <si>
    <r>
      <rPr>
        <b/>
        <sz val="11"/>
        <color theme="1"/>
        <rFont val="Aptos Narrow"/>
        <family val="2"/>
        <scheme val="minor"/>
      </rPr>
      <t>Percentual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Sugerido</t>
    </r>
  </si>
  <si>
    <t>Moderado</t>
  </si>
  <si>
    <t>INVESTIMENTO MENSAL</t>
  </si>
  <si>
    <t>CHAVE</t>
  </si>
  <si>
    <t>Agressivo</t>
  </si>
  <si>
    <t>FII</t>
  </si>
  <si>
    <t>Renda Fixa</t>
  </si>
  <si>
    <t>Chave</t>
  </si>
  <si>
    <t>HÍBRIDO</t>
  </si>
  <si>
    <t>%</t>
  </si>
  <si>
    <t>TIPO DE RENDA FIXA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</si>
</sst>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haroni"/>
      <charset val="177"/>
    </font>
    <font>
      <b/>
      <sz val="11"/>
      <color rgb="FFFFC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C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C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4.9989318521683403E-2"/>
      </left>
      <right style="thin">
        <color theme="0" tint="-4.9989318521683403E-2"/>
      </right>
      <top style="thin">
        <color theme="1" tint="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0" tint="-4.9989318521683403E-2"/>
      </bottom>
      <diagonal/>
    </border>
    <border>
      <left style="thin">
        <color theme="1" tint="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 tint="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1" tint="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1" tint="4.9989318521683403E-2"/>
      </bottom>
      <diagonal/>
    </border>
    <border>
      <left style="thin">
        <color theme="0" tint="-4.9989318521683403E-2"/>
      </left>
      <right style="thin">
        <color theme="1" tint="4.9989318521683403E-2"/>
      </right>
      <top style="thin">
        <color theme="0" tint="-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4.9989318521683403E-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 tint="4.9989318521683403E-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164" fontId="0" fillId="0" borderId="0" xfId="0" applyNumberFormat="1"/>
    <xf numFmtId="0" fontId="5" fillId="2" borderId="4" xfId="0" applyFont="1" applyFill="1" applyBorder="1" applyAlignment="1">
      <alignment vertical="center"/>
    </xf>
    <xf numFmtId="8" fontId="6" fillId="3" borderId="6" xfId="0" applyNumberFormat="1" applyFont="1" applyFill="1" applyBorder="1"/>
    <xf numFmtId="8" fontId="6" fillId="3" borderId="7" xfId="0" applyNumberFormat="1" applyFont="1" applyFill="1" applyBorder="1"/>
    <xf numFmtId="8" fontId="6" fillId="3" borderId="9" xfId="0" applyNumberFormat="1" applyFont="1" applyFill="1" applyBorder="1"/>
    <xf numFmtId="8" fontId="6" fillId="3" borderId="10" xfId="0" applyNumberFormat="1" applyFont="1" applyFill="1" applyBorder="1"/>
    <xf numFmtId="8" fontId="6" fillId="3" borderId="12" xfId="0" applyNumberFormat="1" applyFont="1" applyFill="1" applyBorder="1"/>
    <xf numFmtId="8" fontId="6" fillId="3" borderId="13" xfId="0" applyNumberFormat="1" applyFont="1" applyFill="1" applyBorder="1"/>
    <xf numFmtId="0" fontId="2" fillId="3" borderId="5" xfId="0" applyFont="1" applyFill="1" applyBorder="1"/>
    <xf numFmtId="0" fontId="2" fillId="3" borderId="8" xfId="0" applyFont="1" applyFill="1" applyBorder="1"/>
    <xf numFmtId="0" fontId="2" fillId="3" borderId="11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9" fillId="3" borderId="15" xfId="0" applyFont="1" applyFill="1" applyBorder="1"/>
    <xf numFmtId="0" fontId="9" fillId="3" borderId="16" xfId="0" applyFont="1" applyFill="1" applyBorder="1"/>
    <xf numFmtId="0" fontId="7" fillId="3" borderId="14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3" fillId="2" borderId="1" xfId="0" applyFont="1" applyFill="1" applyBorder="1"/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3" fillId="4" borderId="0" xfId="0" applyFont="1" applyFill="1"/>
    <xf numFmtId="0" fontId="0" fillId="4" borderId="0" xfId="0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3" fillId="4" borderId="0" xfId="0" applyNumberFormat="1" applyFont="1" applyFill="1"/>
    <xf numFmtId="9" fontId="0" fillId="0" borderId="0" xfId="0" applyNumberFormat="1"/>
    <xf numFmtId="0" fontId="0" fillId="0" borderId="29" xfId="0" applyBorder="1"/>
    <xf numFmtId="9" fontId="0" fillId="0" borderId="29" xfId="0" applyNumberFormat="1" applyBorder="1"/>
    <xf numFmtId="0" fontId="0" fillId="0" borderId="30" xfId="0" applyBorder="1"/>
    <xf numFmtId="9" fontId="0" fillId="0" borderId="30" xfId="0" applyNumberFormat="1" applyBorder="1"/>
    <xf numFmtId="0" fontId="3" fillId="0" borderId="0" xfId="0" applyFont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left" vertical="center"/>
    </xf>
    <xf numFmtId="9" fontId="0" fillId="0" borderId="0" xfId="2" applyFont="1"/>
    <xf numFmtId="0" fontId="5" fillId="2" borderId="1" xfId="0" applyFont="1" applyFill="1" applyBorder="1" applyAlignment="1">
      <alignment horizontal="center" vertical="center"/>
    </xf>
    <xf numFmtId="164" fontId="8" fillId="3" borderId="18" xfId="0" applyNumberFormat="1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/>
    </xf>
    <xf numFmtId="9" fontId="8" fillId="3" borderId="20" xfId="2" applyFont="1" applyFill="1" applyBorder="1" applyAlignment="1">
      <alignment horizontal="center"/>
    </xf>
    <xf numFmtId="9" fontId="8" fillId="3" borderId="21" xfId="2" applyFont="1" applyFill="1" applyBorder="1" applyAlignment="1">
      <alignment horizontal="center"/>
    </xf>
    <xf numFmtId="8" fontId="10" fillId="3" borderId="22" xfId="0" applyNumberFormat="1" applyFont="1" applyFill="1" applyBorder="1" applyAlignment="1">
      <alignment horizontal="center"/>
    </xf>
    <xf numFmtId="8" fontId="10" fillId="3" borderId="26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0" fontId="8" fillId="3" borderId="20" xfId="2" applyNumberFormat="1" applyFont="1" applyFill="1" applyBorder="1" applyAlignment="1">
      <alignment horizontal="center"/>
    </xf>
    <xf numFmtId="10" fontId="8" fillId="3" borderId="25" xfId="2" applyNumberFormat="1" applyFont="1" applyFill="1" applyBorder="1" applyAlignment="1">
      <alignment horizontal="center"/>
    </xf>
    <xf numFmtId="8" fontId="10" fillId="3" borderId="20" xfId="0" applyNumberFormat="1" applyFont="1" applyFill="1" applyBorder="1" applyAlignment="1">
      <alignment horizontal="center"/>
    </xf>
    <xf numFmtId="8" fontId="10" fillId="3" borderId="25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8" fillId="3" borderId="18" xfId="1" applyNumberFormat="1" applyFont="1" applyFill="1" applyBorder="1" applyAlignment="1">
      <alignment horizontal="center" vertical="center"/>
    </xf>
    <xf numFmtId="164" fontId="8" fillId="3" borderId="24" xfId="1" applyNumberFormat="1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112706</xdr:colOff>
      <xdr:row>0</xdr:row>
      <xdr:rowOff>0</xdr:rowOff>
    </xdr:from>
    <xdr:to>
      <xdr:col>4</xdr:col>
      <xdr:colOff>60260</xdr:colOff>
      <xdr:row>6</xdr:row>
      <xdr:rowOff>135921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6132F6-2788-7B44-71B7-ACCD7D05F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06" y="0"/>
          <a:ext cx="6663651" cy="14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0155-0CB8-4923-8BC2-64C0BDA73669}">
  <dimension ref="A1:G46"/>
  <sheetViews>
    <sheetView showGridLines="0" tabSelected="1" showRuler="0" zoomScale="98" zoomScaleNormal="98" workbookViewId="0">
      <selection activeCell="D50" sqref="D50"/>
    </sheetView>
  </sheetViews>
  <sheetFormatPr defaultColWidth="0" defaultRowHeight="14.4" x14ac:dyDescent="0.3"/>
  <cols>
    <col min="1" max="1" width="4.21875" customWidth="1"/>
    <col min="2" max="2" width="39.77734375" bestFit="1" customWidth="1"/>
    <col min="3" max="3" width="29.6640625" bestFit="1" customWidth="1"/>
    <col min="4" max="4" width="24.33203125" customWidth="1"/>
    <col min="5" max="5" width="1" customWidth="1"/>
    <col min="6" max="6" width="2.33203125" hidden="1" customWidth="1"/>
    <col min="7" max="7" width="2" customWidth="1"/>
    <col min="8" max="16384" width="2.5546875" hidden="1"/>
  </cols>
  <sheetData>
    <row r="1" spans="2:4" ht="17.399999999999999" customHeight="1" x14ac:dyDescent="0.3"/>
    <row r="2" spans="2:4" ht="26.4" customHeight="1" x14ac:dyDescent="0.3"/>
    <row r="8" spans="2:4" ht="18" x14ac:dyDescent="0.3">
      <c r="B8" s="37" t="s">
        <v>11</v>
      </c>
      <c r="C8" s="37"/>
      <c r="D8" s="37"/>
    </row>
    <row r="9" spans="2:4" ht="29.4" customHeight="1" x14ac:dyDescent="0.3">
      <c r="B9" s="17" t="s">
        <v>12</v>
      </c>
      <c r="C9" s="38">
        <v>2500</v>
      </c>
      <c r="D9" s="39"/>
    </row>
    <row r="10" spans="2:4" ht="26.4" customHeight="1" x14ac:dyDescent="0.3">
      <c r="B10" s="18" t="s">
        <v>13</v>
      </c>
      <c r="C10" s="40">
        <v>0.01</v>
      </c>
      <c r="D10" s="41"/>
    </row>
    <row r="11" spans="2:4" ht="22.8" customHeight="1" x14ac:dyDescent="0.3">
      <c r="B11" s="19" t="s">
        <v>14</v>
      </c>
      <c r="C11" s="53">
        <f>Salario*30%</f>
        <v>750</v>
      </c>
      <c r="D11" s="54"/>
    </row>
    <row r="12" spans="2:4" ht="24" customHeight="1" x14ac:dyDescent="0.3"/>
    <row r="13" spans="2:4" ht="23.4" customHeight="1" x14ac:dyDescent="0.3">
      <c r="B13" s="21" t="s">
        <v>16</v>
      </c>
      <c r="C13" s="55" t="s">
        <v>37</v>
      </c>
      <c r="D13" s="56"/>
    </row>
    <row r="14" spans="2:4" ht="19.2" customHeight="1" x14ac:dyDescent="0.3">
      <c r="B14" s="21" t="s">
        <v>18</v>
      </c>
      <c r="C14" s="57">
        <f>C11</f>
        <v>750</v>
      </c>
      <c r="D14" s="58"/>
    </row>
    <row r="16" spans="2:4" x14ac:dyDescent="0.3">
      <c r="B16" s="22" t="s">
        <v>19</v>
      </c>
      <c r="C16" s="22" t="s">
        <v>20</v>
      </c>
      <c r="D16" s="22" t="s">
        <v>21</v>
      </c>
    </row>
    <row r="17" spans="1:4" ht="16.8" customHeight="1" x14ac:dyDescent="0.3">
      <c r="B17" s="20" t="s">
        <v>22</v>
      </c>
      <c r="C17" s="26">
        <f>VLOOKUP($C$13&amp;"-"&amp;B17,Planilha2!$B$3:$E$21,4,FALSE)</f>
        <v>0.5</v>
      </c>
      <c r="D17" s="2">
        <f>($C$14*VLOOKUP($C$13,Planilha2!$G$5:$I$8,2,FALSE))*Planilha1!C17</f>
        <v>187.5</v>
      </c>
    </row>
    <row r="18" spans="1:4" ht="20.399999999999999" customHeight="1" x14ac:dyDescent="0.3">
      <c r="B18" s="20" t="s">
        <v>23</v>
      </c>
      <c r="C18" s="26">
        <f>VLOOKUP($C$13&amp;"-"&amp;B18,Planilha2!$B$3:$E$21,4,FALSE)</f>
        <v>0.1</v>
      </c>
      <c r="D18" s="2">
        <f>($C$14*VLOOKUP($C$13,Planilha2!$G$5:$I$8,2,FALSE))*Planilha1!C18</f>
        <v>37.5</v>
      </c>
    </row>
    <row r="19" spans="1:4" x14ac:dyDescent="0.3">
      <c r="B19" s="20" t="s">
        <v>41</v>
      </c>
      <c r="C19" s="26">
        <f>VLOOKUP($C$13&amp;"-"&amp;B19,Planilha2!$B$3:$E$21,4,FALSE)</f>
        <v>0.05</v>
      </c>
      <c r="D19" s="2">
        <f>($C$14*VLOOKUP($C$13,Planilha2!$G$5:$I$8,2,FALSE))*Planilha1!C19</f>
        <v>18.75</v>
      </c>
    </row>
    <row r="20" spans="1:4" x14ac:dyDescent="0.3">
      <c r="B20" s="20" t="s">
        <v>24</v>
      </c>
      <c r="C20" s="26">
        <f>VLOOKUP($C$13&amp;"-"&amp;B20,Planilha2!$B$3:$E$21,4,FALSE)</f>
        <v>0.05</v>
      </c>
      <c r="D20" s="2">
        <f>($C$14*VLOOKUP($C$13,Planilha2!$G$5:$I$8,2,FALSE))*Planilha1!C20</f>
        <v>18.75</v>
      </c>
    </row>
    <row r="21" spans="1:4" x14ac:dyDescent="0.3">
      <c r="B21" s="20" t="s">
        <v>25</v>
      </c>
      <c r="C21" s="26">
        <f>VLOOKUP($C$13&amp;"-"&amp;B21,Planilha2!$B$3:$E$21,4,FALSE)</f>
        <v>0.2</v>
      </c>
      <c r="D21" s="2">
        <f>($C$14*VLOOKUP($C$13,Planilha2!$G$5:$I$8,2,FALSE))*Planilha1!C21</f>
        <v>75</v>
      </c>
    </row>
    <row r="22" spans="1:4" x14ac:dyDescent="0.3">
      <c r="B22" s="20" t="s">
        <v>26</v>
      </c>
      <c r="C22" s="26">
        <f>VLOOKUP($C$13&amp;"-"&amp;B22,Planilha2!$B$3:$E$21,4,FALSE)</f>
        <v>0.1</v>
      </c>
      <c r="D22" s="2">
        <f>($C$14*VLOOKUP($C$13,Planilha2!$G$5:$I$8,2,FALSE))*Planilha1!C22</f>
        <v>37.5</v>
      </c>
    </row>
    <row r="23" spans="1:4" x14ac:dyDescent="0.3">
      <c r="B23" s="23"/>
      <c r="C23" s="23"/>
      <c r="D23" s="27">
        <f>SUM(D17:D22)</f>
        <v>375</v>
      </c>
    </row>
    <row r="25" spans="1:4" x14ac:dyDescent="0.3">
      <c r="A25" s="1">
        <v>2</v>
      </c>
      <c r="B25" s="22" t="s">
        <v>27</v>
      </c>
      <c r="C25" s="25" t="s">
        <v>33</v>
      </c>
      <c r="D25" s="22" t="s">
        <v>21</v>
      </c>
    </row>
    <row r="26" spans="1:4" x14ac:dyDescent="0.3">
      <c r="A26" s="1">
        <v>5</v>
      </c>
      <c r="B26" s="20" t="s">
        <v>28</v>
      </c>
      <c r="C26" s="26">
        <f>VLOOKUP($C$13&amp;"-"&amp;B26,Planilha2!$B$23:$E$38,4,FALSE)</f>
        <v>0.15</v>
      </c>
      <c r="D26" s="2">
        <f>($C$14*VLOOKUP($C$13,Planilha2!$G$5:$I$8,3,FALSE))*C26</f>
        <v>56.25</v>
      </c>
    </row>
    <row r="27" spans="1:4" x14ac:dyDescent="0.3">
      <c r="A27" s="1">
        <v>10</v>
      </c>
      <c r="B27" s="20" t="s">
        <v>29</v>
      </c>
      <c r="C27" s="26">
        <f>VLOOKUP($C$13&amp;"-"&amp;B27,Planilha2!$B$23:$E$38,4,FALSE)</f>
        <v>0.2</v>
      </c>
      <c r="D27" s="2">
        <f>($C$14*VLOOKUP($C$13,Planilha2!$G$5:$I$8,3,FALSE))*C27</f>
        <v>75</v>
      </c>
    </row>
    <row r="28" spans="1:4" x14ac:dyDescent="0.3">
      <c r="A28" s="1">
        <v>20</v>
      </c>
      <c r="B28" s="20" t="s">
        <v>30</v>
      </c>
      <c r="C28" s="26">
        <f>VLOOKUP($C$13&amp;"-"&amp;B28,Planilha2!$B$23:$E$38,4,FALSE)</f>
        <v>0.15</v>
      </c>
      <c r="D28" s="2">
        <f>($C$14*VLOOKUP($C$13,Planilha2!$G$5:$I$8,3,FALSE))*C28</f>
        <v>56.25</v>
      </c>
    </row>
    <row r="29" spans="1:4" x14ac:dyDescent="0.3">
      <c r="A29" s="1">
        <v>30</v>
      </c>
      <c r="B29" s="20" t="s">
        <v>31</v>
      </c>
      <c r="C29" s="26">
        <f>VLOOKUP($C$13&amp;"-"&amp;B29,Planilha2!$B$23:$E$38,4,FALSE)</f>
        <v>0.25</v>
      </c>
      <c r="D29" s="2">
        <f>($C$14*VLOOKUP($C$13,Planilha2!$G$5:$I$8,3,FALSE))*C29</f>
        <v>93.75</v>
      </c>
    </row>
    <row r="30" spans="1:4" x14ac:dyDescent="0.3">
      <c r="B30" s="20" t="s">
        <v>32</v>
      </c>
      <c r="C30" s="26">
        <f>VLOOKUP($C$13&amp;"-"&amp;B30,Planilha2!$B$23:$E$38,4,FALSE)</f>
        <v>0.25</v>
      </c>
      <c r="D30" s="2">
        <f>($C$14*VLOOKUP($C$13,Planilha2!$G$5:$I$8,3,FALSE))*C30</f>
        <v>93.75</v>
      </c>
    </row>
    <row r="31" spans="1:4" x14ac:dyDescent="0.3">
      <c r="B31" s="24"/>
      <c r="C31" s="24"/>
      <c r="D31" s="27">
        <f>SUM(D26:D30)</f>
        <v>375</v>
      </c>
    </row>
    <row r="33" spans="2:5" ht="18" x14ac:dyDescent="0.3">
      <c r="B33" s="44" t="s">
        <v>35</v>
      </c>
      <c r="C33" s="45"/>
      <c r="D33" s="46"/>
    </row>
    <row r="34" spans="2:5" ht="15.6" x14ac:dyDescent="0.3">
      <c r="B34" s="13" t="s">
        <v>0</v>
      </c>
      <c r="C34" s="59">
        <f>C11</f>
        <v>750</v>
      </c>
      <c r="D34" s="60"/>
    </row>
    <row r="35" spans="2:5" ht="15.6" x14ac:dyDescent="0.3">
      <c r="B35" s="14" t="s">
        <v>1</v>
      </c>
      <c r="C35" s="61">
        <v>5</v>
      </c>
      <c r="D35" s="62"/>
    </row>
    <row r="36" spans="2:5" ht="15.6" x14ac:dyDescent="0.3">
      <c r="B36" s="14" t="s">
        <v>2</v>
      </c>
      <c r="C36" s="47">
        <f>Rendimento_Carteira</f>
        <v>0.01</v>
      </c>
      <c r="D36" s="48"/>
    </row>
    <row r="37" spans="2:5" ht="15.6" x14ac:dyDescent="0.3">
      <c r="B37" s="15" t="s">
        <v>15</v>
      </c>
      <c r="C37" s="49">
        <f>FV(Taxa_mensal,Anos*12,Investimento_mensal)*-1</f>
        <v>61252.252392306844</v>
      </c>
      <c r="D37" s="50"/>
    </row>
    <row r="38" spans="2:5" ht="15.6" x14ac:dyDescent="0.3">
      <c r="B38" s="16" t="s">
        <v>3</v>
      </c>
      <c r="C38" s="42">
        <f>Patrimonio_acumulado*Rendimento_Carteira</f>
        <v>612.52252392306843</v>
      </c>
      <c r="D38" s="43"/>
    </row>
    <row r="40" spans="2:5" ht="18" x14ac:dyDescent="0.3">
      <c r="B40" s="51" t="s">
        <v>9</v>
      </c>
      <c r="C40" s="52"/>
      <c r="D40" s="3" t="s">
        <v>10</v>
      </c>
    </row>
    <row r="41" spans="2:5" x14ac:dyDescent="0.3">
      <c r="B41" s="10" t="s">
        <v>4</v>
      </c>
      <c r="C41" s="4">
        <f>FV(Taxa_mensal,$A25*12,Investimento_mensal)*-1</f>
        <v>20230.098639893622</v>
      </c>
      <c r="D41" s="5">
        <f>$C41*Rendimento_Carteira</f>
        <v>202.30098639893623</v>
      </c>
    </row>
    <row r="42" spans="2:5" x14ac:dyDescent="0.3">
      <c r="B42" s="11" t="s">
        <v>5</v>
      </c>
      <c r="C42" s="6">
        <f>FV(Taxa_mensal,$A26*12,Investimento_mensal)*-1</f>
        <v>61252.252392306844</v>
      </c>
      <c r="D42" s="7">
        <f>$C42*Rendimento_Carteira</f>
        <v>612.52252392306843</v>
      </c>
    </row>
    <row r="43" spans="2:5" x14ac:dyDescent="0.3">
      <c r="B43" s="11" t="s">
        <v>6</v>
      </c>
      <c r="C43" s="6">
        <f>FV(Taxa_mensal,$A27*12,Investimento_mensal)*-1</f>
        <v>172529.01709302524</v>
      </c>
      <c r="D43" s="7">
        <f>$C43*Rendimento_Carteira</f>
        <v>1725.2901709302523</v>
      </c>
    </row>
    <row r="44" spans="2:5" x14ac:dyDescent="0.3">
      <c r="B44" s="11" t="s">
        <v>7</v>
      </c>
      <c r="C44" s="6">
        <f>FV(Taxa_mensal,$A28*12,Investimento_mensal)*-1</f>
        <v>741941.52404052229</v>
      </c>
      <c r="D44" s="7">
        <f>$C44*Rendimento_Carteira</f>
        <v>7419.4152404052229</v>
      </c>
    </row>
    <row r="45" spans="2:5" x14ac:dyDescent="0.3">
      <c r="B45" s="12" t="s">
        <v>8</v>
      </c>
      <c r="C45" s="8">
        <f>FV(Taxa_mensal,$A29*12,Investimento_mensal)*-1</f>
        <v>2621223.0995763796</v>
      </c>
      <c r="D45" s="9">
        <f>$C45*Rendimento_Carteira</f>
        <v>26212.230995763795</v>
      </c>
    </row>
    <row r="46" spans="2:5" x14ac:dyDescent="0.3">
      <c r="E46" s="24"/>
    </row>
  </sheetData>
  <mergeCells count="13">
    <mergeCell ref="B40:C40"/>
    <mergeCell ref="C11:D11"/>
    <mergeCell ref="C13:D13"/>
    <mergeCell ref="C14:D14"/>
    <mergeCell ref="C34:D34"/>
    <mergeCell ref="C35:D35"/>
    <mergeCell ref="B8:D8"/>
    <mergeCell ref="C9:D9"/>
    <mergeCell ref="C10:D10"/>
    <mergeCell ref="C38:D38"/>
    <mergeCell ref="B33:D33"/>
    <mergeCell ref="C36:D36"/>
    <mergeCell ref="C37:D37"/>
  </mergeCells>
  <dataValidations count="1">
    <dataValidation type="list" allowBlank="1" showInputMessage="1" showErrorMessage="1" sqref="C13" xr:uid="{5518B0CD-D26B-44CD-9DAA-11261F6C739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64D0-CB74-410B-B47E-9836BEA451DA}">
  <dimension ref="A3:I38"/>
  <sheetViews>
    <sheetView topLeftCell="A23" workbookViewId="0">
      <selection activeCell="E40" sqref="E40"/>
    </sheetView>
  </sheetViews>
  <sheetFormatPr defaultRowHeight="14.4" x14ac:dyDescent="0.3"/>
  <cols>
    <col min="2" max="2" width="30" bestFit="1" customWidth="1"/>
    <col min="3" max="3" width="11.6640625" customWidth="1"/>
    <col min="4" max="4" width="19" bestFit="1" customWidth="1"/>
    <col min="7" max="7" width="11.77734375" bestFit="1" customWidth="1"/>
    <col min="8" max="8" width="4.5546875" bestFit="1" customWidth="1"/>
    <col min="9" max="9" width="10.21875" bestFit="1" customWidth="1"/>
    <col min="16" max="16" width="11.77734375" bestFit="1" customWidth="1"/>
    <col min="18" max="18" width="10.21875" bestFit="1" customWidth="1"/>
  </cols>
  <sheetData>
    <row r="3" spans="2:9" x14ac:dyDescent="0.3">
      <c r="B3" s="33" t="s">
        <v>40</v>
      </c>
      <c r="C3" s="33" t="s">
        <v>16</v>
      </c>
      <c r="D3" s="33" t="s">
        <v>19</v>
      </c>
      <c r="E3" s="33" t="s">
        <v>42</v>
      </c>
    </row>
    <row r="4" spans="2:9" x14ac:dyDescent="0.3">
      <c r="B4" t="str">
        <f>C4&amp;"-"&amp;D4</f>
        <v>Conservador-PAPEL</v>
      </c>
      <c r="C4" t="s">
        <v>17</v>
      </c>
      <c r="D4" t="s">
        <v>22</v>
      </c>
      <c r="E4" s="28">
        <v>0.3</v>
      </c>
    </row>
    <row r="5" spans="2:9" x14ac:dyDescent="0.3">
      <c r="B5" t="str">
        <f t="shared" ref="B5:B21" si="0">C5&amp;"-"&amp;D5</f>
        <v>Conservador-TIJOLO</v>
      </c>
      <c r="C5" t="s">
        <v>17</v>
      </c>
      <c r="D5" t="s">
        <v>23</v>
      </c>
      <c r="E5" s="28">
        <v>0.5</v>
      </c>
      <c r="G5" s="29" t="s">
        <v>36</v>
      </c>
      <c r="H5" s="29" t="s">
        <v>38</v>
      </c>
      <c r="I5" s="29" t="s">
        <v>39</v>
      </c>
    </row>
    <row r="6" spans="2:9" x14ac:dyDescent="0.3">
      <c r="B6" s="35" t="str">
        <f>C6&amp;"-"&amp;D6</f>
        <v>Conservador-HÍBRIDO</v>
      </c>
      <c r="C6" t="s">
        <v>17</v>
      </c>
      <c r="D6" t="s">
        <v>41</v>
      </c>
      <c r="E6" s="36">
        <v>0.1</v>
      </c>
      <c r="G6" t="s">
        <v>17</v>
      </c>
      <c r="H6" s="28">
        <v>0.2</v>
      </c>
      <c r="I6" s="28">
        <v>0.8</v>
      </c>
    </row>
    <row r="7" spans="2:9" x14ac:dyDescent="0.3">
      <c r="B7" t="str">
        <f t="shared" si="0"/>
        <v>Conservador-FOFs</v>
      </c>
      <c r="C7" t="s">
        <v>17</v>
      </c>
      <c r="D7" t="s">
        <v>24</v>
      </c>
      <c r="E7" s="28">
        <v>0.1</v>
      </c>
      <c r="G7" t="s">
        <v>34</v>
      </c>
      <c r="H7" s="28">
        <v>0.35</v>
      </c>
      <c r="I7" s="28">
        <v>0.65</v>
      </c>
    </row>
    <row r="8" spans="2:9" x14ac:dyDescent="0.3">
      <c r="B8" t="str">
        <f t="shared" si="0"/>
        <v>Conservador-DESENVOLVIMENTO</v>
      </c>
      <c r="C8" t="s">
        <v>17</v>
      </c>
      <c r="D8" t="s">
        <v>25</v>
      </c>
      <c r="E8" s="28">
        <v>0</v>
      </c>
      <c r="G8" s="31" t="s">
        <v>37</v>
      </c>
      <c r="H8" s="32">
        <v>0.5</v>
      </c>
      <c r="I8" s="32">
        <v>0.5</v>
      </c>
    </row>
    <row r="9" spans="2:9" x14ac:dyDescent="0.3">
      <c r="B9" t="str">
        <f t="shared" si="0"/>
        <v>Conservador-HOTELARIAS</v>
      </c>
      <c r="C9" t="s">
        <v>17</v>
      </c>
      <c r="D9" t="s">
        <v>26</v>
      </c>
      <c r="E9" s="28">
        <v>0</v>
      </c>
    </row>
    <row r="10" spans="2:9" x14ac:dyDescent="0.3">
      <c r="B10" s="29" t="str">
        <f t="shared" si="0"/>
        <v>Moderado-PAPEL</v>
      </c>
      <c r="C10" s="29" t="s">
        <v>34</v>
      </c>
      <c r="D10" s="29" t="s">
        <v>22</v>
      </c>
      <c r="E10" s="30">
        <v>0.32</v>
      </c>
    </row>
    <row r="11" spans="2:9" x14ac:dyDescent="0.3">
      <c r="B11" t="str">
        <f t="shared" si="0"/>
        <v>Moderado-TIJOLO</v>
      </c>
      <c r="C11" t="s">
        <v>34</v>
      </c>
      <c r="D11" t="s">
        <v>23</v>
      </c>
      <c r="E11" s="28">
        <v>0.35</v>
      </c>
    </row>
    <row r="12" spans="2:9" x14ac:dyDescent="0.3">
      <c r="B12" t="str">
        <f t="shared" si="0"/>
        <v>Moderado-HÍBRIDO</v>
      </c>
      <c r="C12" t="s">
        <v>34</v>
      </c>
      <c r="D12" t="s">
        <v>41</v>
      </c>
      <c r="E12" s="28">
        <v>0.08</v>
      </c>
    </row>
    <row r="13" spans="2:9" x14ac:dyDescent="0.3">
      <c r="B13" t="str">
        <f t="shared" si="0"/>
        <v>Moderado-FOFs</v>
      </c>
      <c r="C13" t="s">
        <v>34</v>
      </c>
      <c r="D13" t="s">
        <v>24</v>
      </c>
      <c r="E13" s="28">
        <v>0.05</v>
      </c>
    </row>
    <row r="14" spans="2:9" x14ac:dyDescent="0.3">
      <c r="B14" t="str">
        <f t="shared" si="0"/>
        <v>Moderado-DESENVOLVIMENTO</v>
      </c>
      <c r="C14" t="s">
        <v>34</v>
      </c>
      <c r="D14" t="s">
        <v>25</v>
      </c>
      <c r="E14" s="28">
        <v>0.1</v>
      </c>
    </row>
    <row r="15" spans="2:9" x14ac:dyDescent="0.3">
      <c r="B15" s="31" t="str">
        <f t="shared" si="0"/>
        <v>Moderado-HOTELARIAS</v>
      </c>
      <c r="C15" s="31" t="s">
        <v>34</v>
      </c>
      <c r="D15" s="31" t="s">
        <v>26</v>
      </c>
      <c r="E15" s="32">
        <v>0.1</v>
      </c>
    </row>
    <row r="16" spans="2:9" x14ac:dyDescent="0.3">
      <c r="B16" t="str">
        <f t="shared" si="0"/>
        <v>Agressivo-PAPEL</v>
      </c>
      <c r="C16" t="s">
        <v>37</v>
      </c>
      <c r="D16" t="s">
        <v>22</v>
      </c>
      <c r="E16" s="28">
        <v>0.5</v>
      </c>
    </row>
    <row r="17" spans="1:6" x14ac:dyDescent="0.3">
      <c r="B17" t="str">
        <f t="shared" si="0"/>
        <v>Agressivo-TIJOLO</v>
      </c>
      <c r="C17" t="s">
        <v>37</v>
      </c>
      <c r="D17" t="s">
        <v>23</v>
      </c>
      <c r="E17" s="28">
        <v>0.1</v>
      </c>
    </row>
    <row r="18" spans="1:6" x14ac:dyDescent="0.3">
      <c r="B18" t="str">
        <f t="shared" si="0"/>
        <v>Agressivo-HÍBRIDO</v>
      </c>
      <c r="C18" t="s">
        <v>37</v>
      </c>
      <c r="D18" t="s">
        <v>41</v>
      </c>
      <c r="E18" s="28">
        <v>0.05</v>
      </c>
    </row>
    <row r="19" spans="1:6" x14ac:dyDescent="0.3">
      <c r="B19" t="str">
        <f t="shared" si="0"/>
        <v>Agressivo-FOFs</v>
      </c>
      <c r="C19" t="s">
        <v>37</v>
      </c>
      <c r="D19" t="s">
        <v>24</v>
      </c>
      <c r="E19" s="28">
        <v>0.05</v>
      </c>
    </row>
    <row r="20" spans="1:6" x14ac:dyDescent="0.3">
      <c r="B20" t="str">
        <f t="shared" si="0"/>
        <v>Agressivo-DESENVOLVIMENTO</v>
      </c>
      <c r="C20" t="s">
        <v>37</v>
      </c>
      <c r="D20" t="s">
        <v>25</v>
      </c>
      <c r="E20" s="28">
        <v>0.2</v>
      </c>
    </row>
    <row r="21" spans="1:6" x14ac:dyDescent="0.3">
      <c r="B21" t="str">
        <f t="shared" si="0"/>
        <v>Agressivo-HOTELARIAS</v>
      </c>
      <c r="C21" t="s">
        <v>37</v>
      </c>
      <c r="D21" t="s">
        <v>26</v>
      </c>
      <c r="E21" s="28">
        <v>0.1</v>
      </c>
    </row>
    <row r="22" spans="1:6" x14ac:dyDescent="0.3">
      <c r="A22" s="34"/>
      <c r="B22" s="34"/>
      <c r="C22" s="34"/>
      <c r="D22" s="34"/>
      <c r="E22" s="34"/>
      <c r="F22" s="34"/>
    </row>
    <row r="23" spans="1:6" x14ac:dyDescent="0.3">
      <c r="B23" s="33" t="s">
        <v>40</v>
      </c>
      <c r="C23" s="33" t="s">
        <v>16</v>
      </c>
      <c r="D23" s="33" t="s">
        <v>43</v>
      </c>
      <c r="E23" s="33" t="s">
        <v>42</v>
      </c>
    </row>
    <row r="24" spans="1:6" x14ac:dyDescent="0.3">
      <c r="B24" t="str">
        <f>C24&amp;"-"&amp;D24</f>
        <v>Conservador-Tesouro Direto</v>
      </c>
      <c r="C24" t="s">
        <v>17</v>
      </c>
      <c r="D24" t="s">
        <v>28</v>
      </c>
      <c r="E24" s="28">
        <v>0.35</v>
      </c>
    </row>
    <row r="25" spans="1:6" x14ac:dyDescent="0.3">
      <c r="B25" t="str">
        <f t="shared" ref="B25:B38" si="1">C25&amp;"-"&amp;D25</f>
        <v>Conservador-CDB</v>
      </c>
      <c r="C25" t="s">
        <v>17</v>
      </c>
      <c r="D25" t="s">
        <v>29</v>
      </c>
      <c r="E25" s="28">
        <v>0.3</v>
      </c>
    </row>
    <row r="26" spans="1:6" x14ac:dyDescent="0.3">
      <c r="B26" t="str">
        <f t="shared" si="1"/>
        <v>Conservador-LCI e LCA</v>
      </c>
      <c r="C26" t="s">
        <v>17</v>
      </c>
      <c r="D26" t="s">
        <v>30</v>
      </c>
      <c r="E26" s="28">
        <v>0.25</v>
      </c>
    </row>
    <row r="27" spans="1:6" x14ac:dyDescent="0.3">
      <c r="B27" t="str">
        <f t="shared" si="1"/>
        <v>Conservador-CRI e CRA</v>
      </c>
      <c r="C27" t="s">
        <v>17</v>
      </c>
      <c r="D27" t="s">
        <v>31</v>
      </c>
      <c r="E27" s="28">
        <v>0.05</v>
      </c>
    </row>
    <row r="28" spans="1:6" x14ac:dyDescent="0.3">
      <c r="B28" t="str">
        <f t="shared" si="1"/>
        <v>Conservador-Dedêntures</v>
      </c>
      <c r="C28" t="s">
        <v>17</v>
      </c>
      <c r="D28" t="s">
        <v>32</v>
      </c>
      <c r="E28" s="28">
        <v>0.05</v>
      </c>
    </row>
    <row r="29" spans="1:6" x14ac:dyDescent="0.3">
      <c r="B29" s="29" t="str">
        <f t="shared" si="1"/>
        <v>Moderado-Tesouro Direto</v>
      </c>
      <c r="C29" s="29" t="s">
        <v>34</v>
      </c>
      <c r="D29" s="29" t="s">
        <v>28</v>
      </c>
      <c r="E29" s="30">
        <v>0.25</v>
      </c>
    </row>
    <row r="30" spans="1:6" x14ac:dyDescent="0.3">
      <c r="B30" t="str">
        <f t="shared" si="1"/>
        <v>Moderado-CDB</v>
      </c>
      <c r="C30" t="s">
        <v>34</v>
      </c>
      <c r="D30" t="s">
        <v>29</v>
      </c>
      <c r="E30" s="28">
        <v>0.25</v>
      </c>
    </row>
    <row r="31" spans="1:6" x14ac:dyDescent="0.3">
      <c r="B31" t="str">
        <f t="shared" si="1"/>
        <v>Moderado-LCI e LCA</v>
      </c>
      <c r="C31" t="s">
        <v>34</v>
      </c>
      <c r="D31" t="s">
        <v>30</v>
      </c>
      <c r="E31" s="28">
        <v>0.2</v>
      </c>
    </row>
    <row r="32" spans="1:6" x14ac:dyDescent="0.3">
      <c r="B32" t="str">
        <f t="shared" si="1"/>
        <v>Moderado-CRI e CRA</v>
      </c>
      <c r="C32" t="s">
        <v>34</v>
      </c>
      <c r="D32" t="s">
        <v>31</v>
      </c>
      <c r="E32" s="28">
        <v>0.15</v>
      </c>
    </row>
    <row r="33" spans="2:5" x14ac:dyDescent="0.3">
      <c r="B33" s="31" t="str">
        <f t="shared" si="1"/>
        <v>Moderado-Dedêntures</v>
      </c>
      <c r="C33" s="31" t="s">
        <v>34</v>
      </c>
      <c r="D33" s="31" t="s">
        <v>32</v>
      </c>
      <c r="E33" s="32">
        <v>0.15</v>
      </c>
    </row>
    <row r="34" spans="2:5" x14ac:dyDescent="0.3">
      <c r="B34" t="str">
        <f t="shared" si="1"/>
        <v>Agressivo-Tesouro Direto</v>
      </c>
      <c r="C34" t="s">
        <v>37</v>
      </c>
      <c r="D34" t="s">
        <v>28</v>
      </c>
      <c r="E34" s="28">
        <v>0.15</v>
      </c>
    </row>
    <row r="35" spans="2:5" x14ac:dyDescent="0.3">
      <c r="B35" t="str">
        <f t="shared" si="1"/>
        <v>Agressivo-CDB</v>
      </c>
      <c r="C35" t="s">
        <v>37</v>
      </c>
      <c r="D35" t="s">
        <v>29</v>
      </c>
      <c r="E35" s="28">
        <v>0.2</v>
      </c>
    </row>
    <row r="36" spans="2:5" x14ac:dyDescent="0.3">
      <c r="B36" t="str">
        <f t="shared" si="1"/>
        <v>Agressivo-LCI e LCA</v>
      </c>
      <c r="C36" t="s">
        <v>37</v>
      </c>
      <c r="D36" t="s">
        <v>30</v>
      </c>
      <c r="E36" s="28">
        <v>0.15</v>
      </c>
    </row>
    <row r="37" spans="2:5" x14ac:dyDescent="0.3">
      <c r="B37" t="str">
        <f t="shared" si="1"/>
        <v>Agressivo-CRI e CRA</v>
      </c>
      <c r="C37" t="s">
        <v>37</v>
      </c>
      <c r="D37" t="s">
        <v>31</v>
      </c>
      <c r="E37" s="28">
        <v>0.25</v>
      </c>
    </row>
    <row r="38" spans="2:5" x14ac:dyDescent="0.3">
      <c r="B38" t="str">
        <f t="shared" si="1"/>
        <v>Agressivo-Dedêntures</v>
      </c>
      <c r="C38" t="s">
        <v>37</v>
      </c>
      <c r="D38" t="s">
        <v>32</v>
      </c>
      <c r="E38" s="28">
        <v>0.25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Anos</vt:lpstr>
      <vt:lpstr>Investimento_mensal</vt:lpstr>
      <vt:lpstr>Patrimonio_acumulado</vt:lpstr>
      <vt:lpstr>Progressão_investimento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kaio Rodrigues</dc:creator>
  <cp:lastModifiedBy>kaio Rodrigues</cp:lastModifiedBy>
  <dcterms:created xsi:type="dcterms:W3CDTF">2026-09-01T01:27:01Z</dcterms:created>
  <dcterms:modified xsi:type="dcterms:W3CDTF">2026-09-05T17:06:24Z</dcterms:modified>
</cp:coreProperties>
</file>